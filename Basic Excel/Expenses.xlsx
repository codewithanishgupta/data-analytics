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d120df9f60bef/Desktop/Data Analytics/"/>
    </mc:Choice>
  </mc:AlternateContent>
  <xr:revisionPtr revIDLastSave="0" documentId="8_{A1F53066-54D6-4B55-BB49-B219FC8D8FF5}" xr6:coauthVersionLast="47" xr6:coauthVersionMax="47" xr10:uidLastSave="{00000000-0000-0000-0000-000000000000}"/>
  <bookViews>
    <workbookView xWindow="-108" yWindow="-108" windowWidth="23256" windowHeight="12456" xr2:uid="{885C2601-1E21-4474-9EDA-2902388B6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L16" i="1"/>
  <c r="L17" i="1"/>
  <c r="L14" i="1"/>
  <c r="K17" i="1"/>
  <c r="K16" i="1"/>
  <c r="K15" i="1"/>
  <c r="K13" i="1"/>
  <c r="K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K14" i="1" l="1"/>
</calcChain>
</file>

<file path=xl/sharedStrings.xml><?xml version="1.0" encoding="utf-8"?>
<sst xmlns="http://schemas.openxmlformats.org/spreadsheetml/2006/main" count="38" uniqueCount="29">
  <si>
    <t>S. no.</t>
  </si>
  <si>
    <t>Description</t>
  </si>
  <si>
    <t>Type</t>
  </si>
  <si>
    <t>Amount</t>
  </si>
  <si>
    <t xml:space="preserve">Food </t>
  </si>
  <si>
    <t>Fun</t>
  </si>
  <si>
    <t>Office</t>
  </si>
  <si>
    <t>Investment</t>
  </si>
  <si>
    <t>Tea</t>
  </si>
  <si>
    <t>Snacks</t>
  </si>
  <si>
    <t>Gulab jamun</t>
  </si>
  <si>
    <t>lunch</t>
  </si>
  <si>
    <t>Stationary</t>
  </si>
  <si>
    <t>Zerodha</t>
  </si>
  <si>
    <t>icici</t>
  </si>
  <si>
    <t>Birthday of a friend</t>
  </si>
  <si>
    <t>Dinner</t>
  </si>
  <si>
    <t>food</t>
  </si>
  <si>
    <t>office</t>
  </si>
  <si>
    <t>investment</t>
  </si>
  <si>
    <t>fun</t>
  </si>
  <si>
    <t>Office Expenses</t>
  </si>
  <si>
    <t>Fun Expenses</t>
  </si>
  <si>
    <t>Food Expenses</t>
  </si>
  <si>
    <t>Average Transaction Value</t>
  </si>
  <si>
    <t>Total For Day</t>
  </si>
  <si>
    <t>Ammount</t>
  </si>
  <si>
    <t>Percentage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</si>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</sst>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4" borderId="0" xfId="0" applyFill="1" applyBorder="1"/>
    <xf numFmtId="166" fontId="0" fillId="6" borderId="1" xfId="0" applyNumberFormat="1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16AC-14EA-4155-A061-77B419731A00}">
  <dimension ref="A1:M17"/>
  <sheetViews>
    <sheetView tabSelected="1" topLeftCell="B1" zoomScale="145" zoomScaleNormal="145" workbookViewId="0">
      <selection activeCell="N11" sqref="N11"/>
    </sheetView>
  </sheetViews>
  <sheetFormatPr defaultRowHeight="14.4" x14ac:dyDescent="0.3"/>
  <cols>
    <col min="1" max="1" width="9" customWidth="1"/>
    <col min="2" max="2" width="17.109375" customWidth="1"/>
    <col min="3" max="3" width="11.33203125" customWidth="1"/>
    <col min="8" max="8" width="11.77734375" customWidth="1"/>
    <col min="10" max="10" width="17.33203125" customWidth="1"/>
    <col min="11" max="11" width="11" customWidth="1"/>
    <col min="12" max="12" width="11.21875" customWidth="1"/>
  </cols>
  <sheetData>
    <row r="1" spans="1:13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3">
      <c r="A2" s="3">
        <v>1</v>
      </c>
      <c r="B2" s="3" t="s">
        <v>8</v>
      </c>
      <c r="C2" s="3" t="s">
        <v>17</v>
      </c>
      <c r="D2" s="3">
        <v>15</v>
      </c>
      <c r="E2" s="3">
        <f>COUNTIF(C2,"food")*D2</f>
        <v>15</v>
      </c>
      <c r="F2" s="3">
        <f>COUNTIF(C2,"fun")*D2</f>
        <v>0</v>
      </c>
      <c r="G2" s="3">
        <f>COUNTIF(C2,"office")*D2</f>
        <v>0</v>
      </c>
      <c r="H2" s="3">
        <f>COUNTIF(C2,"investment")*D2</f>
        <v>0</v>
      </c>
    </row>
    <row r="3" spans="1:13" x14ac:dyDescent="0.3">
      <c r="A3" s="3">
        <v>2</v>
      </c>
      <c r="B3" s="3" t="s">
        <v>9</v>
      </c>
      <c r="C3" s="3" t="s">
        <v>17</v>
      </c>
      <c r="D3" s="3">
        <v>50</v>
      </c>
      <c r="E3" s="3">
        <f t="shared" ref="E3:E11" si="0">COUNTIF(C3,"food")*D3</f>
        <v>50</v>
      </c>
      <c r="F3" s="3">
        <f t="shared" ref="F3:F11" si="1">COUNTIF(C3,"fun")*D3</f>
        <v>0</v>
      </c>
      <c r="G3" s="3">
        <f t="shared" ref="G3:G11" si="2">COUNTIF(C3,"office")*D3</f>
        <v>0</v>
      </c>
      <c r="H3" s="3">
        <f t="shared" ref="H3:H11" si="3">COUNTIF(C3,"investment")*D3</f>
        <v>0</v>
      </c>
    </row>
    <row r="4" spans="1:13" x14ac:dyDescent="0.3">
      <c r="A4" s="3">
        <v>3</v>
      </c>
      <c r="B4" s="3" t="s">
        <v>10</v>
      </c>
      <c r="C4" s="3" t="s">
        <v>17</v>
      </c>
      <c r="D4" s="3">
        <v>70</v>
      </c>
      <c r="E4" s="3">
        <f t="shared" si="0"/>
        <v>70</v>
      </c>
      <c r="F4" s="3">
        <f t="shared" si="1"/>
        <v>0</v>
      </c>
      <c r="G4" s="3">
        <f t="shared" si="2"/>
        <v>0</v>
      </c>
      <c r="H4" s="3">
        <f t="shared" si="3"/>
        <v>0</v>
      </c>
    </row>
    <row r="5" spans="1:13" x14ac:dyDescent="0.3">
      <c r="A5" s="3">
        <v>4</v>
      </c>
      <c r="B5" s="3" t="s">
        <v>11</v>
      </c>
      <c r="C5" s="3" t="s">
        <v>17</v>
      </c>
      <c r="D5" s="3">
        <v>100</v>
      </c>
      <c r="E5" s="3">
        <f t="shared" si="0"/>
        <v>100</v>
      </c>
      <c r="F5" s="3">
        <f t="shared" si="1"/>
        <v>0</v>
      </c>
      <c r="G5" s="3">
        <f t="shared" si="2"/>
        <v>0</v>
      </c>
      <c r="H5" s="3">
        <f t="shared" si="3"/>
        <v>0</v>
      </c>
    </row>
    <row r="6" spans="1:13" x14ac:dyDescent="0.3">
      <c r="A6" s="3">
        <v>5</v>
      </c>
      <c r="B6" s="3" t="s">
        <v>8</v>
      </c>
      <c r="C6" s="3" t="s">
        <v>17</v>
      </c>
      <c r="D6" s="3">
        <v>15</v>
      </c>
      <c r="E6" s="3">
        <f t="shared" si="0"/>
        <v>15</v>
      </c>
      <c r="F6" s="3">
        <f t="shared" si="1"/>
        <v>0</v>
      </c>
      <c r="G6" s="3">
        <f t="shared" si="2"/>
        <v>0</v>
      </c>
      <c r="H6" s="3">
        <f t="shared" si="3"/>
        <v>0</v>
      </c>
    </row>
    <row r="7" spans="1:13" x14ac:dyDescent="0.3">
      <c r="A7" s="3">
        <v>6</v>
      </c>
      <c r="B7" s="3" t="s">
        <v>12</v>
      </c>
      <c r="C7" s="3" t="s">
        <v>18</v>
      </c>
      <c r="D7" s="3">
        <v>45</v>
      </c>
      <c r="E7" s="3">
        <f t="shared" si="0"/>
        <v>0</v>
      </c>
      <c r="F7" s="3">
        <f t="shared" si="1"/>
        <v>0</v>
      </c>
      <c r="G7" s="3">
        <f t="shared" si="2"/>
        <v>45</v>
      </c>
      <c r="H7" s="3">
        <f t="shared" si="3"/>
        <v>0</v>
      </c>
    </row>
    <row r="8" spans="1:13" x14ac:dyDescent="0.3">
      <c r="A8" s="3">
        <v>7</v>
      </c>
      <c r="B8" s="3" t="s">
        <v>13</v>
      </c>
      <c r="C8" s="3" t="s">
        <v>19</v>
      </c>
      <c r="D8" s="3">
        <v>2000</v>
      </c>
      <c r="E8" s="3">
        <f t="shared" si="0"/>
        <v>0</v>
      </c>
      <c r="F8" s="3">
        <f t="shared" si="1"/>
        <v>0</v>
      </c>
      <c r="G8" s="3">
        <f t="shared" si="2"/>
        <v>0</v>
      </c>
      <c r="H8" s="3">
        <f t="shared" si="3"/>
        <v>2000</v>
      </c>
    </row>
    <row r="9" spans="1:13" x14ac:dyDescent="0.3">
      <c r="A9" s="3">
        <v>8</v>
      </c>
      <c r="B9" s="3" t="s">
        <v>14</v>
      </c>
      <c r="C9" s="3" t="s">
        <v>19</v>
      </c>
      <c r="D9" s="3">
        <v>1000</v>
      </c>
      <c r="E9" s="3">
        <f t="shared" si="0"/>
        <v>0</v>
      </c>
      <c r="F9" s="3">
        <f t="shared" si="1"/>
        <v>0</v>
      </c>
      <c r="G9" s="3">
        <f t="shared" si="2"/>
        <v>0</v>
      </c>
      <c r="H9" s="3">
        <f t="shared" si="3"/>
        <v>1000</v>
      </c>
    </row>
    <row r="10" spans="1:13" x14ac:dyDescent="0.3">
      <c r="A10" s="3">
        <v>9</v>
      </c>
      <c r="B10" s="3" t="s">
        <v>16</v>
      </c>
      <c r="C10" s="3" t="s">
        <v>17</v>
      </c>
      <c r="D10" s="3">
        <v>200</v>
      </c>
      <c r="E10" s="3">
        <f t="shared" si="0"/>
        <v>200</v>
      </c>
      <c r="F10" s="3">
        <f t="shared" si="1"/>
        <v>0</v>
      </c>
      <c r="G10" s="3">
        <f t="shared" si="2"/>
        <v>0</v>
      </c>
      <c r="H10" s="3">
        <f t="shared" si="3"/>
        <v>0</v>
      </c>
    </row>
    <row r="11" spans="1:13" x14ac:dyDescent="0.3">
      <c r="A11" s="3">
        <v>10</v>
      </c>
      <c r="B11" s="3" t="s">
        <v>15</v>
      </c>
      <c r="C11" s="3" t="s">
        <v>20</v>
      </c>
      <c r="D11" s="3">
        <v>300</v>
      </c>
      <c r="E11" s="3">
        <f t="shared" si="0"/>
        <v>0</v>
      </c>
      <c r="F11" s="3">
        <f t="shared" si="1"/>
        <v>300</v>
      </c>
      <c r="G11" s="3">
        <f t="shared" si="2"/>
        <v>0</v>
      </c>
      <c r="H11" s="3">
        <f t="shared" si="3"/>
        <v>0</v>
      </c>
      <c r="J11" s="4"/>
      <c r="K11" s="4" t="s">
        <v>26</v>
      </c>
      <c r="L11" s="4" t="s">
        <v>27</v>
      </c>
    </row>
    <row r="12" spans="1:13" x14ac:dyDescent="0.3">
      <c r="J12" s="5" t="s">
        <v>25</v>
      </c>
      <c r="K12" s="8">
        <f>SUM(D2:D11)</f>
        <v>3795</v>
      </c>
      <c r="L12" s="9" t="s">
        <v>28</v>
      </c>
    </row>
    <row r="13" spans="1:13" ht="28.8" x14ac:dyDescent="0.3">
      <c r="J13" s="6" t="s">
        <v>24</v>
      </c>
      <c r="K13" s="8">
        <f>AVERAGE(D2:D11)</f>
        <v>379.5</v>
      </c>
      <c r="L13" s="9" t="s">
        <v>28</v>
      </c>
    </row>
    <row r="14" spans="1:13" x14ac:dyDescent="0.3">
      <c r="J14" s="5" t="s">
        <v>23</v>
      </c>
      <c r="K14" s="8">
        <f>SUM(E2:E11)</f>
        <v>450</v>
      </c>
      <c r="L14" s="8">
        <f>100*K14/SUM($K$14:$K$17)</f>
        <v>11.857707509881424</v>
      </c>
      <c r="M14" s="7"/>
    </row>
    <row r="15" spans="1:13" x14ac:dyDescent="0.3">
      <c r="J15" s="5" t="s">
        <v>22</v>
      </c>
      <c r="K15" s="8">
        <f>SUM(F2:F11)</f>
        <v>300</v>
      </c>
      <c r="L15" s="8">
        <f t="shared" ref="L15:L17" si="4">100*K15/SUM($K$14:$K$17)</f>
        <v>7.9051383399209483</v>
      </c>
    </row>
    <row r="16" spans="1:13" x14ac:dyDescent="0.3">
      <c r="J16" s="5" t="s">
        <v>21</v>
      </c>
      <c r="K16" s="8">
        <f>SUM(G2:G11)</f>
        <v>45</v>
      </c>
      <c r="L16" s="8">
        <f t="shared" si="4"/>
        <v>1.1857707509881423</v>
      </c>
    </row>
    <row r="17" spans="10:12" x14ac:dyDescent="0.3">
      <c r="J17" s="5" t="s">
        <v>7</v>
      </c>
      <c r="K17" s="8">
        <f>SUM(H2:H11)</f>
        <v>3000</v>
      </c>
      <c r="L17" s="8">
        <f t="shared" si="4"/>
        <v>79.051383399209485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2026-09-03T01:13:14Z</dcterms:created>
  <dcterms:modified xsi:type="dcterms:W3CDTF">2026-09-03T01:47:07Z</dcterms:modified>
</cp:coreProperties>
</file>