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6d120df9f60bef/Desktop/Data Analytics/"/>
    </mc:Choice>
  </mc:AlternateContent>
  <xr:revisionPtr revIDLastSave="129" documentId="8_{2EE468AE-A4A5-4A41-9FFC-63E992051B23}" xr6:coauthVersionLast="47" xr6:coauthVersionMax="47" xr10:uidLastSave="{C0F664AD-2189-47ED-9FD4-D77B273FADA1}"/>
  <bookViews>
    <workbookView xWindow="-108" yWindow="-108" windowWidth="23256" windowHeight="12456" xr2:uid="{FF7DEE9C-887D-452E-B6C5-5E9E86A68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<sst xmlns="http://schemas.openxmlformats.org/spreadsheetml/2006/main" count="28" uniqueCount="28">
  <si>
    <t>Roll No.</t>
  </si>
  <si>
    <t>Name</t>
  </si>
  <si>
    <t>Maths</t>
  </si>
  <si>
    <t>Physics</t>
  </si>
  <si>
    <t>English</t>
  </si>
  <si>
    <t>Computer</t>
  </si>
  <si>
    <t>Chemistry</t>
  </si>
  <si>
    <t>Anish Gupta</t>
  </si>
  <si>
    <t>Raju Gupta</t>
  </si>
  <si>
    <t>vaibhab suryavansi</t>
  </si>
  <si>
    <t>Abhisek sharma</t>
  </si>
  <si>
    <t>Shresh iyer</t>
  </si>
  <si>
    <t>Isan kisan</t>
  </si>
  <si>
    <t>Sivam Dube</t>
  </si>
  <si>
    <t>Akshar patel</t>
  </si>
  <si>
    <t>Rohit sharma</t>
  </si>
  <si>
    <t>Virat Kohali</t>
  </si>
  <si>
    <t>Hardik</t>
  </si>
  <si>
    <t>subhamn gill</t>
  </si>
  <si>
    <t>yasasvi hayswal</t>
  </si>
  <si>
    <t xml:space="preserve">mukesh </t>
  </si>
  <si>
    <t>Suresh</t>
  </si>
  <si>
    <t>Aaditi</t>
  </si>
  <si>
    <t>Bikash</t>
  </si>
  <si>
    <t>Rameshg</t>
  </si>
  <si>
    <t>Rakesh</t>
  </si>
  <si>
    <t>Persentage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</si>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</sst>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3" fillId="3" borderId="1" xfId="0" applyNumberFormat="1" applyFont="1" applyFill="1" applyBorder="1" applyAlignment="1" applyProtection="1">
      <alignment horizontal="right" vertical="center"/>
    </xf>
    <xf numFmtId="10" fontId="0" fillId="3" borderId="1" xfId="1" applyNumberFormat="1" applyFont="1" applyFill="1" applyBorder="1" applyAlignment="1">
      <alignment horizontal="right" vertical="center"/>
    </xf>
    <xf numFmtId="0" fontId="0" fillId="3" borderId="6" xfId="0" applyFill="1" applyBorder="1" applyAlignment="1">
      <alignment horizontal="right" vertical="center"/>
    </xf>
    <xf numFmtId="0" fontId="0" fillId="3" borderId="8" xfId="0" applyFill="1" applyBorder="1" applyAlignment="1">
      <alignment horizontal="right" vertical="center"/>
    </xf>
    <xf numFmtId="0" fontId="3" fillId="3" borderId="8" xfId="0" applyNumberFormat="1" applyFont="1" applyFill="1" applyBorder="1" applyAlignment="1" applyProtection="1">
      <alignment horizontal="right" vertical="center"/>
    </xf>
    <xf numFmtId="10" fontId="0" fillId="3" borderId="8" xfId="1" applyNumberFormat="1" applyFont="1" applyFill="1" applyBorder="1" applyAlignment="1">
      <alignment horizontal="right" vertical="center"/>
    </xf>
    <xf numFmtId="0" fontId="0" fillId="3" borderId="9" xfId="0" applyFill="1" applyBorder="1" applyAlignment="1">
      <alignment horizontal="righ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6C9C-5878-469A-9E35-9AC2BA65B006}">
  <dimension ref="A1:I21"/>
  <sheetViews>
    <sheetView tabSelected="1" zoomScale="130" zoomScaleNormal="130" workbookViewId="0">
      <selection activeCell="F14" sqref="F14"/>
    </sheetView>
  </sheetViews>
  <sheetFormatPr defaultRowHeight="14.4"/>
  <cols>
    <col min="2" max="2" width="17" bestFit="1" customWidth="1"/>
    <col min="3" max="3" width="6.109375" bestFit="1" customWidth="1"/>
    <col min="4" max="4" width="6.77734375" bestFit="1" customWidth="1"/>
    <col min="5" max="5" width="9.109375" bestFit="1" customWidth="1"/>
    <col min="8" max="8" width="10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H1" s="2" t="s">
        <v>26</v>
      </c>
      <c r="I1" s="3" t="s">
        <v>27</v>
      </c>
    </row>
    <row r="2" spans="1:9">
      <c r="A2" s="12">
        <v>1</v>
      </c>
      <c r="B2" s="14" t="s">
        <v>7</v>
      </c>
      <c r="C2" s="4">
        <v>90</v>
      </c>
      <c r="D2" s="5">
        <v>43</v>
      </c>
      <c r="E2" s="5">
        <v>46</v>
      </c>
      <c r="F2" s="5">
        <v>47</v>
      </c>
      <c r="G2" s="5">
        <v>53</v>
      </c>
      <c r="H2" s="6">
        <f>SUM(C2:G2)/500</f>
        <v>0.55800000000000005</v>
      </c>
      <c r="I2" s="7" t="str">
        <f>IF(H2&gt;=0.6,"pass","fail")</f>
        <v>fail</v>
      </c>
    </row>
    <row r="3" spans="1:9">
      <c r="A3" s="12">
        <v>2</v>
      </c>
      <c r="B3" s="14" t="s">
        <v>8</v>
      </c>
      <c r="C3" s="4">
        <v>98</v>
      </c>
      <c r="D3" s="5">
        <v>48</v>
      </c>
      <c r="E3" s="5">
        <v>50</v>
      </c>
      <c r="F3" s="5">
        <v>49</v>
      </c>
      <c r="G3" s="5">
        <v>56</v>
      </c>
      <c r="H3" s="6">
        <f t="shared" ref="H3:H20" si="0">SUM(C3:G3)/500</f>
        <v>0.60199999999999998</v>
      </c>
      <c r="I3" s="7" t="str">
        <f t="shared" ref="I3:I20" si="1">IF(H3&gt;=0.6,"pass","fail")</f>
        <v>pass</v>
      </c>
    </row>
    <row r="4" spans="1:9">
      <c r="A4" s="12">
        <v>3</v>
      </c>
      <c r="B4" s="14" t="s">
        <v>9</v>
      </c>
      <c r="C4" s="4">
        <v>78</v>
      </c>
      <c r="D4" s="5">
        <v>53</v>
      </c>
      <c r="E4" s="5">
        <v>54</v>
      </c>
      <c r="F4" s="5">
        <v>51</v>
      </c>
      <c r="G4" s="5">
        <v>59</v>
      </c>
      <c r="H4" s="6">
        <f t="shared" si="0"/>
        <v>0.59</v>
      </c>
      <c r="I4" s="7" t="str">
        <f t="shared" si="1"/>
        <v>fail</v>
      </c>
    </row>
    <row r="5" spans="1:9">
      <c r="A5" s="12">
        <v>4</v>
      </c>
      <c r="B5" s="14" t="s">
        <v>10</v>
      </c>
      <c r="C5" s="4">
        <v>34</v>
      </c>
      <c r="D5" s="5">
        <v>58</v>
      </c>
      <c r="E5" s="5">
        <v>58</v>
      </c>
      <c r="F5" s="5">
        <v>53</v>
      </c>
      <c r="G5" s="5">
        <v>62</v>
      </c>
      <c r="H5" s="6">
        <f t="shared" si="0"/>
        <v>0.53</v>
      </c>
      <c r="I5" s="7" t="str">
        <f t="shared" si="1"/>
        <v>fail</v>
      </c>
    </row>
    <row r="6" spans="1:9">
      <c r="A6" s="12">
        <v>5</v>
      </c>
      <c r="B6" s="14" t="s">
        <v>11</v>
      </c>
      <c r="C6" s="4">
        <v>45</v>
      </c>
      <c r="D6" s="5">
        <v>63</v>
      </c>
      <c r="E6" s="5">
        <v>62</v>
      </c>
      <c r="F6" s="5">
        <v>55</v>
      </c>
      <c r="G6" s="5">
        <v>65</v>
      </c>
      <c r="H6" s="6">
        <f t="shared" si="0"/>
        <v>0.57999999999999996</v>
      </c>
      <c r="I6" s="7" t="str">
        <f t="shared" si="1"/>
        <v>fail</v>
      </c>
    </row>
    <row r="7" spans="1:9">
      <c r="A7" s="12">
        <v>6</v>
      </c>
      <c r="B7" s="14" t="s">
        <v>12</v>
      </c>
      <c r="C7" s="4">
        <v>34</v>
      </c>
      <c r="D7" s="5">
        <v>68</v>
      </c>
      <c r="E7" s="5">
        <v>66</v>
      </c>
      <c r="F7" s="5">
        <v>57</v>
      </c>
      <c r="G7" s="5">
        <v>68</v>
      </c>
      <c r="H7" s="6">
        <f t="shared" si="0"/>
        <v>0.58599999999999997</v>
      </c>
      <c r="I7" s="7" t="str">
        <f t="shared" si="1"/>
        <v>fail</v>
      </c>
    </row>
    <row r="8" spans="1:9">
      <c r="A8" s="12">
        <v>7</v>
      </c>
      <c r="B8" s="14" t="s">
        <v>13</v>
      </c>
      <c r="C8" s="4">
        <v>12</v>
      </c>
      <c r="D8" s="5">
        <v>73</v>
      </c>
      <c r="E8" s="5">
        <v>70</v>
      </c>
      <c r="F8" s="5">
        <v>59</v>
      </c>
      <c r="G8" s="5">
        <v>71</v>
      </c>
      <c r="H8" s="6">
        <f t="shared" si="0"/>
        <v>0.56999999999999995</v>
      </c>
      <c r="I8" s="7" t="str">
        <f t="shared" si="1"/>
        <v>fail</v>
      </c>
    </row>
    <row r="9" spans="1:9">
      <c r="A9" s="12">
        <v>8</v>
      </c>
      <c r="B9" s="14" t="s">
        <v>14</v>
      </c>
      <c r="C9" s="4">
        <v>55</v>
      </c>
      <c r="D9" s="5">
        <v>78</v>
      </c>
      <c r="E9" s="5">
        <v>74</v>
      </c>
      <c r="F9" s="5">
        <v>61</v>
      </c>
      <c r="G9" s="5">
        <v>74</v>
      </c>
      <c r="H9" s="6">
        <f t="shared" si="0"/>
        <v>0.68400000000000005</v>
      </c>
      <c r="I9" s="7" t="str">
        <f t="shared" si="1"/>
        <v>pass</v>
      </c>
    </row>
    <row r="10" spans="1:9">
      <c r="A10" s="12">
        <v>9</v>
      </c>
      <c r="B10" s="14" t="s">
        <v>15</v>
      </c>
      <c r="C10" s="4">
        <v>34</v>
      </c>
      <c r="D10" s="5">
        <v>83</v>
      </c>
      <c r="E10" s="5">
        <v>78</v>
      </c>
      <c r="F10" s="5">
        <v>63</v>
      </c>
      <c r="G10" s="5">
        <v>77</v>
      </c>
      <c r="H10" s="6">
        <f t="shared" si="0"/>
        <v>0.67</v>
      </c>
      <c r="I10" s="7" t="str">
        <f t="shared" si="1"/>
        <v>pass</v>
      </c>
    </row>
    <row r="11" spans="1:9">
      <c r="A11" s="12">
        <v>10</v>
      </c>
      <c r="B11" s="14" t="s">
        <v>16</v>
      </c>
      <c r="C11" s="4">
        <v>35</v>
      </c>
      <c r="D11" s="5">
        <v>88</v>
      </c>
      <c r="E11" s="5">
        <v>82</v>
      </c>
      <c r="F11" s="5">
        <v>65</v>
      </c>
      <c r="G11" s="5">
        <v>80</v>
      </c>
      <c r="H11" s="6">
        <f t="shared" si="0"/>
        <v>0.7</v>
      </c>
      <c r="I11" s="7" t="str">
        <f t="shared" si="1"/>
        <v>pass</v>
      </c>
    </row>
    <row r="12" spans="1:9">
      <c r="A12" s="12">
        <v>11</v>
      </c>
      <c r="B12" s="14" t="s">
        <v>17</v>
      </c>
      <c r="C12" s="4">
        <v>67</v>
      </c>
      <c r="D12" s="5">
        <v>93</v>
      </c>
      <c r="E12" s="5">
        <v>86</v>
      </c>
      <c r="F12" s="5">
        <v>67</v>
      </c>
      <c r="G12" s="5">
        <v>83</v>
      </c>
      <c r="H12" s="6">
        <f t="shared" si="0"/>
        <v>0.79200000000000004</v>
      </c>
      <c r="I12" s="7" t="str">
        <f t="shared" si="1"/>
        <v>pass</v>
      </c>
    </row>
    <row r="13" spans="1:9">
      <c r="A13" s="12">
        <v>12</v>
      </c>
      <c r="B13" s="14" t="s">
        <v>18</v>
      </c>
      <c r="C13" s="4">
        <v>89</v>
      </c>
      <c r="D13" s="5">
        <v>98</v>
      </c>
      <c r="E13" s="5">
        <v>86</v>
      </c>
      <c r="F13" s="5">
        <v>69</v>
      </c>
      <c r="G13" s="5">
        <v>86</v>
      </c>
      <c r="H13" s="6">
        <f t="shared" si="0"/>
        <v>0.85599999999999998</v>
      </c>
      <c r="I13" s="7" t="str">
        <f t="shared" si="1"/>
        <v>pass</v>
      </c>
    </row>
    <row r="14" spans="1:9">
      <c r="A14" s="12">
        <v>13</v>
      </c>
      <c r="B14" s="14" t="s">
        <v>19</v>
      </c>
      <c r="C14" s="4">
        <v>56</v>
      </c>
      <c r="D14" s="5">
        <v>40</v>
      </c>
      <c r="E14" s="5">
        <v>94</v>
      </c>
      <c r="F14" s="5">
        <v>71</v>
      </c>
      <c r="G14" s="5">
        <v>89</v>
      </c>
      <c r="H14" s="6">
        <f t="shared" si="0"/>
        <v>0.7</v>
      </c>
      <c r="I14" s="7" t="str">
        <f t="shared" si="1"/>
        <v>pass</v>
      </c>
    </row>
    <row r="15" spans="1:9">
      <c r="A15" s="12">
        <v>14</v>
      </c>
      <c r="B15" s="14" t="s">
        <v>20</v>
      </c>
      <c r="C15" s="4">
        <v>34</v>
      </c>
      <c r="D15" s="5">
        <v>45</v>
      </c>
      <c r="E15" s="5">
        <v>98</v>
      </c>
      <c r="F15" s="5">
        <v>73</v>
      </c>
      <c r="G15" s="5">
        <v>92</v>
      </c>
      <c r="H15" s="6">
        <f t="shared" si="0"/>
        <v>0.68400000000000005</v>
      </c>
      <c r="I15" s="7" t="str">
        <f t="shared" si="1"/>
        <v>pass</v>
      </c>
    </row>
    <row r="16" spans="1:9">
      <c r="A16" s="12">
        <v>15</v>
      </c>
      <c r="B16" s="14" t="s">
        <v>21</v>
      </c>
      <c r="C16" s="4">
        <v>67</v>
      </c>
      <c r="D16" s="5">
        <v>50</v>
      </c>
      <c r="E16" s="5">
        <v>43</v>
      </c>
      <c r="F16" s="5">
        <v>75</v>
      </c>
      <c r="G16" s="5">
        <v>95</v>
      </c>
      <c r="H16" s="6">
        <f t="shared" si="0"/>
        <v>0.66</v>
      </c>
      <c r="I16" s="7" t="str">
        <f t="shared" si="1"/>
        <v>pass</v>
      </c>
    </row>
    <row r="17" spans="1:9">
      <c r="A17" s="12">
        <v>16</v>
      </c>
      <c r="B17" s="14" t="s">
        <v>22</v>
      </c>
      <c r="C17" s="4">
        <v>23</v>
      </c>
      <c r="D17" s="5">
        <v>55</v>
      </c>
      <c r="E17" s="5">
        <v>47</v>
      </c>
      <c r="F17" s="5">
        <v>77</v>
      </c>
      <c r="G17" s="5">
        <v>98</v>
      </c>
      <c r="H17" s="6">
        <f t="shared" si="0"/>
        <v>0.6</v>
      </c>
      <c r="I17" s="7" t="str">
        <f t="shared" si="1"/>
        <v>pass</v>
      </c>
    </row>
    <row r="18" spans="1:9">
      <c r="A18" s="12">
        <v>17</v>
      </c>
      <c r="B18" s="14" t="s">
        <v>23</v>
      </c>
      <c r="C18" s="4">
        <v>78</v>
      </c>
      <c r="D18" s="5">
        <v>60</v>
      </c>
      <c r="E18" s="5">
        <v>51</v>
      </c>
      <c r="F18" s="5">
        <v>79</v>
      </c>
      <c r="G18" s="5">
        <v>50</v>
      </c>
      <c r="H18" s="6">
        <f t="shared" si="0"/>
        <v>0.63600000000000001</v>
      </c>
      <c r="I18" s="7" t="str">
        <f t="shared" si="1"/>
        <v>pass</v>
      </c>
    </row>
    <row r="19" spans="1:9">
      <c r="A19" s="12">
        <v>18</v>
      </c>
      <c r="B19" s="14" t="s">
        <v>24</v>
      </c>
      <c r="C19" s="4">
        <v>89</v>
      </c>
      <c r="D19" s="5">
        <v>65</v>
      </c>
      <c r="E19" s="5">
        <v>55</v>
      </c>
      <c r="F19" s="5">
        <v>81</v>
      </c>
      <c r="G19" s="5">
        <v>53</v>
      </c>
      <c r="H19" s="6">
        <f t="shared" si="0"/>
        <v>0.68600000000000005</v>
      </c>
      <c r="I19" s="7" t="str">
        <f t="shared" si="1"/>
        <v>pass</v>
      </c>
    </row>
    <row r="20" spans="1:9" ht="15" thickBot="1">
      <c r="A20" s="13">
        <v>19</v>
      </c>
      <c r="B20" s="15" t="s">
        <v>25</v>
      </c>
      <c r="C20" s="8">
        <v>56</v>
      </c>
      <c r="D20" s="9">
        <v>45</v>
      </c>
      <c r="E20" s="9">
        <v>59</v>
      </c>
      <c r="F20" s="9">
        <v>83</v>
      </c>
      <c r="G20" s="9">
        <v>56</v>
      </c>
      <c r="H20" s="10">
        <f t="shared" si="0"/>
        <v>0.59799999999999998</v>
      </c>
      <c r="I20" s="11" t="str">
        <f t="shared" si="1"/>
        <v>fail</v>
      </c>
    </row>
    <row r="21" spans="1:9" ht="15" thickTop="1"/>
  </sheetData>
  <conditionalFormatting sqref="C2:C20">
    <cfRule type="cellIs" dxfId="13" priority="10" operator="greaterThan">
      <formula>50</formula>
    </cfRule>
    <cfRule type="cellIs" dxfId="12" priority="9" operator="lessThan">
      <formula>50</formula>
    </cfRule>
    <cfRule type="cellIs" dxfId="11" priority="8" operator="greaterThan">
      <formula>55</formula>
    </cfRule>
  </conditionalFormatting>
  <conditionalFormatting sqref="D2:D20">
    <cfRule type="top10" dxfId="10" priority="7" rank="10"/>
    <cfRule type="top10" dxfId="9" priority="6" percent="1" rank="10"/>
  </conditionalFormatting>
  <conditionalFormatting sqref="E2:E20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20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G2:G20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{79D10132-FAB3-40A6-A68F-E1E4987AFEB2}</x14:id>
        </ext>
      </extLst>
    </cfRule>
  </conditionalFormatting>
  <conditionalFormatting sqref="I2:I20">
    <cfRule type="containsText" dxfId="7" priority="2" operator="containsText" text="fail">
      <formula>NOT(ISERROR(SEARCH("fail",I2)))</formula>
    </cfRule>
    <cfRule type="containsText" dxfId="8" priority="1" operator="containsText" text="pass">
      <formula>NOT(ISERROR(SEARCH("pass",I2)))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D10132-FAB3-40A6-A68F-E1E4987AFE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G2:G20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cp:lastPrinted>2026-09-04T02:38:42Z</cp:lastPrinted>
  <dcterms:created xsi:type="dcterms:W3CDTF">2026-09-04T01:48:39Z</dcterms:created>
  <dcterms:modified xsi:type="dcterms:W3CDTF">2026-09-04T02:45:12Z</dcterms:modified>
</cp:coreProperties>
</file>